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02022a82d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ba38530aaf4d09"/>
    <x:sheet xmlns:r="http://schemas.openxmlformats.org/officeDocument/2006/relationships" name="Top50_Source_Registry" sheetId="2" r:id="R455722b223af4df1"/>
    <x:sheet xmlns:r="http://schemas.openxmlformats.org/officeDocument/2006/relationships" name="Citation_Source_Families" sheetId="3" r:id="R0c2479a58641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5EEF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8c10b8cca4cd6" /><Relationship Type="http://schemas.openxmlformats.org/officeDocument/2006/relationships/theme" Target="/xl/theme/theme1.xml" Id="R4e38c9836cd74b47" /><Relationship Type="http://schemas.openxmlformats.org/officeDocument/2006/relationships/sharedStrings" Target="/xl/sharedStrings.xml" Id="Rd3f5d742296846f0" /><Relationship Type="http://schemas.openxmlformats.org/officeDocument/2006/relationships/worksheet" Target="/xl/worksheets/sheet1.xml" Id="Re6ba38530aaf4d09" /><Relationship Type="http://schemas.openxmlformats.org/officeDocument/2006/relationships/worksheet" Target="/xl/worksheets/sheet2.xml" Id="R455722b223af4df1" /><Relationship Type="http://schemas.openxmlformats.org/officeDocument/2006/relationships/worksheet" Target="/xl/worksheets/sheet3.xml" Id="R0c2479a5864148cc" /></Relationships>
</file>

<file path=xl/tables/table1.xml><?xml version="1.0" encoding="utf-8"?>
<x:table xmlns:x="http://schemas.openxmlformats.org/spreadsheetml/2006/main" id="1" name="UniversitySourceRegistry" displayName="UniversitySourceRegistry" ref="A1:K51" headerRowCount="1">
  <x:tableColumns count="11">
    <x:tableColumn id="1" name="QS 2027 Rank"/>
    <x:tableColumn id="2" name="University"/>
    <x:tableColumn id="3" name="Location"/>
    <x:tableColumn id="4" name="Economic / Business Resource"/>
    <x:tableColumn id="5" name="Economic / Business URL"/>
    <x:tableColumn id="6" name="Technology Resource"/>
    <x:tableColumn id="7" name="Technology URL"/>
    <x:tableColumn id="8" name="Company-Useful Resource"/>
    <x:tableColumn id="9" name="Company-Useful URL"/>
    <x:tableColumn id="10" name="Asperitas Priority"/>
    <x:tableColumn id="11" name="Verification 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Families" displayName="SourceFamilies" ref="A1:C9" headerRowCount="1">
  <x:tableColumns count="3">
    <x:tableColumn id="1" name="Source family"/>
    <x:tableColumn id="2" name="URL"/>
    <x:tableColumn id="3" name="Why it matt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ebbdb17cca41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24092f8b7d49f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8" t="str">
        <x:v>Asperitas Global University Open-Source / Paper Registry v1</x:v>
      </x:c>
      <x:c r="B1" s="18"/>
    </x:row>
    <x:row r="2">
      <x:c r="A2" s="19" t="str">
        <x:v>Generated</x:v>
      </x:c>
      <x:c r="B2" s="20" t="str">
        <x:v>2026-06-28 04:12 KST</x:v>
      </x:c>
    </x:row>
    <x:row r="3">
      <x:c r="A3" s="19" t="str">
        <x:v>Ranking basis</x:v>
      </x:c>
      <x:c r="B3" s="20" t="str">
        <x:v>QS World University Rankings 2027 Top 100 article; top 50 extracted.</x:v>
      </x:c>
    </x:row>
    <x:row r="4">
      <x:c r="A4" s="19" t="str">
        <x:v>Use case</x:v>
      </x:c>
      <x:c r="B4" s="20" t="str">
        <x:v>경제/경영, 기술, 회사 실행·상용화에 도움되는 공개 강의/논문/리서치/창업 허브 수집 후보.</x:v>
      </x:c>
    </x:row>
    <x:row r="5">
      <x:c r="A5" s="19" t="str">
        <x:v>Critical limitation</x:v>
      </x:c>
      <x:c r="B5" s="20" t="str">
        <x:v>This is a first-pass source registry, not a completed crawl, legal/license approval, or RAG ingestion.</x:v>
      </x:c>
    </x:row>
    <x:row r="6">
      <x:c r="A6" s="19" t="str">
        <x:v>Next ingestion gate</x:v>
      </x:c>
      <x:c r="B6" s="20" t="str">
        <x:v>For each URL: robots/ToS/license check -&gt; exact item selection -&gt; metadata -&gt; chunking -&gt; retrieval eval.</x:v>
      </x:c>
    </x:row>
    <x:row r="7">
      <x:c r="A7" s="19" t="str">
        <x:v>Ranking source</x:v>
      </x:c>
      <x:c r="B7" s="20" t="str">
        <x:v>https://www.topuniversities.com/student-info/choosing-university/worlds-top-100-universities</x:v>
      </x:c>
    </x:row>
    <x:row r="8">
      <x:c r="A8" s="19" t="str">
        <x:v>Open-learning source families cited in answer</x:v>
      </x:c>
      <x:c r="B8" s="20" t="str">
        <x:v>MIT OCW, Harvard Free Courses, Stanford Online, Open Yale Courses, edX/Coursera audit/free-course pages.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38" hidden="0" customWidth="1"/>
    <x:col min="5" max="5" width="44" hidden="0" customWidth="1"/>
    <x:col min="6" max="6" width="38" hidden="0" customWidth="1"/>
    <x:col min="7" max="7" width="44" hidden="0" customWidth="1"/>
    <x:col min="8" max="8" width="38" hidden="0" customWidth="1"/>
    <x:col min="9" max="9" width="44" hidden="0" customWidth="1"/>
    <x:col min="10" max="10" width="16" hidden="0" customWidth="1"/>
    <x:col min="11" max="11" width="38" hidden="0" customWidth="1"/>
  </x:cols>
  <x:sheetData>
    <x:row r="1" ht="34" customHeight="1">
      <x:c r="A1" s="10" t="str">
        <x:v>QS 2027 Rank</x:v>
      </x:c>
      <x:c r="B1" s="10" t="str">
        <x:v>University</x:v>
      </x:c>
      <x:c r="C1" s="10" t="str">
        <x:v>Location</x:v>
      </x:c>
      <x:c r="D1" s="10" t="str">
        <x:v>Economic / Business Resource</x:v>
      </x:c>
      <x:c r="E1" s="10" t="str">
        <x:v>Economic / Business URL</x:v>
      </x:c>
      <x:c r="F1" s="10" t="str">
        <x:v>Technology Resource</x:v>
      </x:c>
      <x:c r="G1" s="10" t="str">
        <x:v>Technology URL</x:v>
      </x:c>
      <x:c r="H1" s="10" t="str">
        <x:v>Company-Useful Resource</x:v>
      </x:c>
      <x:c r="I1" s="10" t="str">
        <x:v>Company-Useful URL</x:v>
      </x:c>
      <x:c r="J1" s="10" t="str">
        <x:v>Asperitas Priority</x:v>
      </x:c>
      <x:c r="K1" s="10" t="str">
        <x:v>Verification Notes</x:v>
      </x:c>
    </x:row>
    <x:row r="2">
      <x:c r="A2" s="24" t="n">
        <x:v>1</x:v>
      </x:c>
      <x:c r="B2" s="20" t="str">
        <x:v>Massachusetts Institute of Technology (MIT)</x:v>
      </x:c>
      <x:c r="C2" s="20" t="str">
        <x:v>Cambridge, United States</x:v>
      </x:c>
      <x:c r="D2" s="20" t="str">
        <x:v>MIT OCW Economics / Sloan-related courses</x:v>
      </x:c>
      <x:c r="E2" s="20" t="str">
        <x:v>https://ocw.mit.edu/search/?d=Economics</x:v>
      </x:c>
      <x:c r="F2" s="20" t="str">
        <x:v>MIT OCW EECS / AI / engineering courses</x:v>
      </x:c>
      <x:c r="G2" s="20" t="str">
        <x:v>https://ocw.mit.edu/search/?d=Electrical%20Engineering%20and%20Computer%20Science</x:v>
      </x:c>
      <x:c r="H2" s="20" t="str">
        <x:v>MIT entrepreneurship / Sloan / startup courses on OCW</x:v>
      </x:c>
      <x:c r="I2" s="20" t="str">
        <x:v>https://ocw.mit.edu/search/?q=entrepreneurship</x:v>
      </x:c>
      <x:c r="J2" s="24" t="str">
        <x:v>High</x:v>
      </x:c>
      <x:c r="K2" s="20" t="str">
        <x:v>Confirmed source family; exact course/license check before ingestion</x:v>
      </x:c>
    </x:row>
    <x:row r="3">
      <x:c r="A3" s="24" t="n">
        <x:f>2</x:f>
        <x:v>2</x:v>
      </x:c>
      <x:c r="B3" s="20" t="str">
        <x:v>Imperial College London</x:v>
      </x:c>
      <x:c r="C3" s="20" t="str">
        <x:v>London, United Kingdom</x:v>
      </x:c>
      <x:c r="D3" s="20" t="str">
        <x:v>Imperial College Business School knowledge / research insights</x:v>
      </x:c>
      <x:c r="E3" s="20" t="str">
        <x:v>https://www.imperial.ac.uk/business-school/knowledge/</x:v>
      </x:c>
      <x:c r="F3" s="20" t="str">
        <x:v>ImperialX / Imperial online STEM courses</x:v>
      </x:c>
      <x:c r="G3" s="20" t="str">
        <x:v>https://www.edx.org/school/imperialcollegelondonx</x:v>
      </x:c>
      <x:c r="H3" s="20" t="str">
        <x:v>Imperial Enterprise Lab / startup resources</x:v>
      </x:c>
      <x:c r="I3" s="20" t="str">
        <x:v>https://www.imperial.ac.uk/enterprise/students/enterprise-lab/</x:v>
      </x:c>
      <x:c r="J3" s="24" t="str">
        <x:v>High</x:v>
      </x:c>
      <x:c r="K3" s="20" t="str">
        <x:v>Verify exact page availability before ingestion</x:v>
      </x:c>
    </x:row>
    <x:row r="4">
      <x:c r="A4" s="24" t="n">
        <x:f>2</x:f>
        <x:v>2</x:v>
      </x:c>
      <x:c r="B4" s="20" t="str">
        <x:v>Stanford University</x:v>
      </x:c>
      <x:c r="C4" s="20" t="str">
        <x:v>Stanford, United States</x:v>
      </x:c>
      <x:c r="D4" s="20" t="str">
        <x:v>Stanford Online economics / finance / business search</x:v>
      </x:c>
      <x:c r="E4" s="20" t="str">
        <x:v>https://online.stanford.edu/courses</x:v>
      </x:c>
      <x:c r="F4" s="20" t="str">
        <x:v>Stanford Online free/low-cost CS, AI, engineering courses</x:v>
      </x:c>
      <x:c r="G4" s="20" t="str">
        <x:v>https://online.stanford.edu/free-courses</x:v>
      </x:c>
      <x:c r="H4" s="20" t="str">
        <x:v>Stanford eCorner entrepreneurship videos/articles</x:v>
      </x:c>
      <x:c r="I4" s="20" t="str">
        <x:v>https://ecorner.stanford.edu/</x:v>
      </x:c>
      <x:c r="J4" s="24" t="str">
        <x:v>High</x:v>
      </x:c>
      <x:c r="K4" s="20" t="str">
        <x:v>Confirmed source family; course audit/terms check</x:v>
      </x:c>
    </x:row>
    <x:row r="5">
      <x:c r="A5" s="24" t="n">
        <x:v>4</x:v>
      </x:c>
      <x:c r="B5" s="20" t="str">
        <x:v>University of Oxford</x:v>
      </x:c>
      <x:c r="C5" s="20" t="str">
        <x:v>Oxford, United Kingdom</x:v>
      </x:c>
      <x:c r="D5" s="20" t="str">
        <x:v>Saïd Business School Oxford Answers / business research</x:v>
      </x:c>
      <x:c r="E5" s="20" t="str">
        <x:v>https://www.sbs.ox.ac.uk/oxford-answers</x:v>
      </x:c>
      <x:c r="F5" s="20" t="str">
        <x:v>Oxford Podcasts / public lectures</x:v>
      </x:c>
      <x:c r="G5" s="20" t="str">
        <x:v>https://podcasts.ox.ac.uk/</x:v>
      </x:c>
      <x:c r="H5" s="20" t="str">
        <x:v>Oxford Centre for Entrepreneurship and Innovation</x:v>
      </x:c>
      <x:c r="I5" s="20" t="str">
        <x:v>https://www.sbs.ox.ac.uk/research/centres-and-initiatives/oxford-centre-entrepreneurship-and-innovation</x:v>
      </x:c>
      <x:c r="J5" s="24" t="str">
        <x:v>High</x:v>
      </x:c>
      <x:c r="K5" s="20" t="str">
        <x:v>Verify exact course/license before ingestion</x:v>
      </x:c>
    </x:row>
    <x:row r="6">
      <x:c r="A6" s="24" t="n">
        <x:v>5</x:v>
      </x:c>
      <x:c r="B6" s="20" t="str">
        <x:v>Harvard University</x:v>
      </x:c>
      <x:c r="C6" s="20" t="str">
        <x:v>Cambridge, United States</x:v>
      </x:c>
      <x:c r="D6" s="20" t="str">
        <x:v>Harvard free courses catalog: business/economics/data</x:v>
      </x:c>
      <x:c r="E6" s="20" t="str">
        <x:v>https://pll.harvard.edu/catalog/free</x:v>
      </x:c>
      <x:c r="F6" s="20" t="str">
        <x:v>CS50 / Harvard technology course family</x:v>
      </x:c>
      <x:c r="G6" s="20" t="str">
        <x:v>https://cs50.harvard.edu/x/</x:v>
      </x:c>
      <x:c r="H6" s="20" t="str">
        <x:v>Harvard Business School Working Knowledge</x:v>
      </x:c>
      <x:c r="I6" s="20" t="str">
        <x:v>https://www.library.hbs.edu/working-knowledge</x:v>
      </x:c>
      <x:c r="J6" s="24" t="str">
        <x:v>High</x:v>
      </x:c>
      <x:c r="K6" s="20" t="str">
        <x:v>Confirmed source family; audit/terms check</x:v>
      </x:c>
    </x:row>
    <x:row r="7">
      <x:c r="A7" s="24" t="n">
        <x:v>6</x:v>
      </x:c>
      <x:c r="B7" s="20" t="str">
        <x:v>University of Cambridge</x:v>
      </x:c>
      <x:c r="C7" s="20" t="str">
        <x:v>Cambridge, United Kingdom</x:v>
      </x:c>
      <x:c r="D7" s="20" t="str">
        <x:v>Cambridge Judge Business School Insights</x:v>
      </x:c>
      <x:c r="E7" s="20" t="str">
        <x:v>https://www.jbs.cam.ac.uk/insight/</x:v>
      </x:c>
      <x:c r="F7" s="20" t="str">
        <x:v>Cambridge on edX / online learning source family</x:v>
      </x:c>
      <x:c r="G7" s="20" t="str">
        <x:v>https://www.edx.org/school/universityofcambridge</x:v>
      </x:c>
      <x:c r="H7" s="20" t="str">
        <x:v>Cambridge Enterprise technology transfer / commercialization</x:v>
      </x:c>
      <x:c r="I7" s="20" t="str">
        <x:v>https://www.enterprise.cam.ac.uk/</x:v>
      </x:c>
      <x:c r="J7" s="24" t="str">
        <x:v>High</x:v>
      </x:c>
      <x:c r="K7" s="20" t="str">
        <x:v>Verify specific course availability</x:v>
      </x:c>
    </x:row>
    <x:row r="8">
      <x:c r="A8" s="24" t="n">
        <x:v>7</x:v>
      </x:c>
      <x:c r="B8" s="20" t="str">
        <x:v>California Institute of Technology (Caltech)</x:v>
      </x:c>
      <x:c r="C8" s="20" t="str">
        <x:v>Pasadena, United States</x:v>
      </x:c>
      <x:c r="D8" s="20" t="str">
        <x:v>Caltech HSS / social science &amp; economics working papers</x:v>
      </x:c>
      <x:c r="E8" s="20" t="str">
        <x:v>https://www.hss.caltech.edu/research/working-papers</x:v>
      </x:c>
      <x:c r="F8" s="20" t="str">
        <x:v>CaltechAUTHORS research repository</x:v>
      </x:c>
      <x:c r="G8" s="20" t="str">
        <x:v>https://authors.library.caltech.edu/</x:v>
      </x:c>
      <x:c r="H8" s="20" t="str">
        <x:v>Caltech Innovation &amp; Entrepreneurship / CIE</x:v>
      </x:c>
      <x:c r="I8" s="20" t="str">
        <x:v>https://cie.caltech.edu/</x:v>
      </x:c>
      <x:c r="J8" s="24" t="str">
        <x:v>Medium</x:v>
      </x:c>
      <x:c r="K8" s="20" t="str">
        <x:v>Repository confirmed; course availability limited</x:v>
      </x:c>
    </x:row>
    <x:row r="9">
      <x:c r="A9" s="24" t="n">
        <x:f>8</x:f>
        <x:v>8</x:v>
      </x:c>
      <x:c r="B9" s="20" t="str">
        <x:v>ETH Zurich</x:v>
      </x:c>
      <x:c r="C9" s="20" t="str">
        <x:v>Zürich, Switzerland</x:v>
      </x:c>
      <x:c r="D9" s="20" t="str">
        <x:v>KOF Swiss Economic Institute publications</x:v>
      </x:c>
      <x:c r="E9" s="20" t="str">
        <x:v>https://kof.ethz.ch/en/publications.html</x:v>
      </x:c>
      <x:c r="F9" s="20" t="str">
        <x:v>ETH Zurich lecture/video portal</x:v>
      </x:c>
      <x:c r="G9" s="20" t="str">
        <x:v>https://video.ethz.ch/lectures.html</x:v>
      </x:c>
      <x:c r="H9" s="20" t="str">
        <x:v>ETH transfer / industry collaboration</x:v>
      </x:c>
      <x:c r="I9" s="20" t="str">
        <x:v>https://ethz.ch/en/industry/transfer.html</x:v>
      </x:c>
      <x:c r="J9" s="24" t="str">
        <x:v>High</x:v>
      </x:c>
      <x:c r="K9" s="20" t="str">
        <x:v>Verify license/use for videos and papers</x:v>
      </x:c>
    </x:row>
    <x:row r="10">
      <x:c r="A10" s="24" t="n">
        <x:f>8</x:f>
        <x:v>8</x:v>
      </x:c>
      <x:c r="B10" s="20" t="str">
        <x:v>UCL</x:v>
      </x:c>
      <x:c r="C10" s="20" t="str">
        <x:v>London, United Kingdom</x:v>
      </x:c>
      <x:c r="D10" s="20" t="str">
        <x:v>UCL IIPP working papers / innovation economics</x:v>
      </x:c>
      <x:c r="E10" s="20" t="str">
        <x:v>https://www.ucl.ac.uk/bartlett/public-purpose/publications/working-papers</x:v>
      </x:c>
      <x:c r="F10" s="20" t="str">
        <x:v>UCL Open Education / OER</x:v>
      </x:c>
      <x:c r="G10" s="20" t="str">
        <x:v>https://www.ucl.ac.uk/teaching-learning/open-education/open-educational-resources</x:v>
      </x:c>
      <x:c r="H10" s="20" t="str">
        <x:v>UCL Innovation &amp; Enterprise</x:v>
      </x:c>
      <x:c r="I10" s="20" t="str">
        <x:v>https://www.ucl.ac.uk/enterprise/</x:v>
      </x:c>
      <x:c r="J10" s="24" t="str">
        <x:v>High</x:v>
      </x:c>
      <x:c r="K10" s="20" t="str">
        <x:v>Good company-use fit for innovation systems</x:v>
      </x:c>
    </x:row>
    <x:row r="11">
      <x:c r="A11" s="24" t="n">
        <x:v>10</x:v>
      </x:c>
      <x:c r="B11" s="20" t="str">
        <x:v>National University of Singapore (NUS)</x:v>
      </x:c>
      <x:c r="C11" s="20" t="str">
        <x:v>Singapore, Singapore</x:v>
      </x:c>
      <x:c r="D11" s="20" t="str">
        <x:v>NUS Business School Think Business</x:v>
      </x:c>
      <x:c r="E11" s="20" t="str">
        <x:v>https://thinkbusiness.nus.edu.sg/</x:v>
      </x:c>
      <x:c r="F11" s="20" t="str">
        <x:v>NUS SCALE lifelong learning / technology programs</x:v>
      </x:c>
      <x:c r="G11" s="20" t="str">
        <x:v>https://scale.nus.edu.sg/</x:v>
      </x:c>
      <x:c r="H11" s="20" t="str">
        <x:v>NUS Enterprise</x:v>
      </x:c>
      <x:c r="I11" s="20" t="str">
        <x:v>https://enterprise.nus.edu.sg/</x:v>
      </x:c>
      <x:c r="J11" s="24" t="str">
        <x:v>High</x:v>
      </x:c>
      <x:c r="K11" s="20" t="str">
        <x:v>Verify open/audit status</x:v>
      </x:c>
    </x:row>
    <x:row r="12">
      <x:c r="A12" s="24" t="n">
        <x:v>11</x:v>
      </x:c>
      <x:c r="B12" s="20" t="str">
        <x:v>The University of Hong Kong</x:v>
      </x:c>
      <x:c r="C12" s="20" t="str">
        <x:v>Hong Kong, Hong Kong SAR</x:v>
      </x:c>
      <x:c r="D12" s="20" t="str">
        <x:v>HKU Business School thought leadership</x:v>
      </x:c>
      <x:c r="E12" s="20" t="str">
        <x:v>https://www.hkubs.hku.hk/research/thought-leadership/</x:v>
      </x:c>
      <x:c r="F12" s="20" t="str">
        <x:v>HKU Scholars Hub research repository</x:v>
      </x:c>
      <x:c r="G12" s="20" t="str">
        <x:v>https://hub.hku.hk/</x:v>
      </x:c>
      <x:c r="H12" s="20" t="str">
        <x:v>iDendron HKU innovation &amp; entrepreneurship</x:v>
      </x:c>
      <x:c r="I12" s="20" t="str">
        <x:v>https://www.idendron.hku.hk/</x:v>
      </x:c>
      <x:c r="J12" s="24" t="str">
        <x:v>High</x:v>
      </x:c>
      <x:c r="K12" s="20" t="str">
        <x:v>Repository suitable for RAG after license check</x:v>
      </x:c>
    </x:row>
    <x:row r="13">
      <x:c r="A13" s="24" t="n">
        <x:v>12</x:v>
      </x:c>
      <x:c r="B13" s="20" t="str">
        <x:v>Nanyang Technological University, Singapore (NTU Singapore)</x:v>
      </x:c>
      <x:c r="C13" s="20" t="str">
        <x:v>Singapore, Singapore</x:v>
      </x:c>
      <x:c r="D13" s="20" t="str">
        <x:v>Nanyang Business School Knowledge Lab</x:v>
      </x:c>
      <x:c r="E13" s="20" t="str">
        <x:v>https://www.ntu.edu.sg/business/news-events/knowledge-lab</x:v>
      </x:c>
      <x:c r="F13" s="20" t="str">
        <x:v>NTU Digital Repository</x:v>
      </x:c>
      <x:c r="G13" s="20" t="str">
        <x:v>https://dr.ntu.edu.sg/</x:v>
      </x:c>
      <x:c r="H13" s="20" t="str">
        <x:v>NTUitive commercialization / spinouts</x:v>
      </x:c>
      <x:c r="I13" s="20" t="str">
        <x:v>https://www.ntuitive.sg/</x:v>
      </x:c>
      <x:c r="J13" s="24" t="str">
        <x:v>High</x:v>
      </x:c>
      <x:c r="K13" s="20" t="str">
        <x:v>Good Asia innovation/tech-transfer source</x:v>
      </x:c>
    </x:row>
    <x:row r="14">
      <x:c r="A14" s="24" t="n">
        <x:v>13</x:v>
      </x:c>
      <x:c r="B14" s="20" t="str">
        <x:v>Peking University</x:v>
      </x:c>
      <x:c r="C14" s="20" t="str">
        <x:v>Beijing, China (Mainland)</x:v>
      </x:c>
      <x:c r="D14" s="20" t="str">
        <x:v>PKU National School of Development publications</x:v>
      </x:c>
      <x:c r="E14" s="20" t="str">
        <x:v>https://en.nsd.pku.edu.cn/research/publications.htm</x:v>
      </x:c>
      <x:c r="F14" s="20" t="str">
        <x:v>Peking University course/search hub on Coursera or PKU resources</x:v>
      </x:c>
      <x:c r="G14" s="20" t="str">
        <x:v>https://www.coursera.org/pku</x:v>
      </x:c>
      <x:c r="H14" s="20" t="str">
        <x:v>Guanghua School of Management research</x:v>
      </x:c>
      <x:c r="I14" s="20" t="str">
        <x:v>https://en.gsm.pku.edu.cn/academic_research/Research.htm</x:v>
      </x:c>
      <x:c r="J14" s="24" t="str">
        <x:v>High</x:v>
      </x:c>
      <x:c r="K14" s="20" t="str">
        <x:v>China-source verification required; check access from Korea/China</x:v>
      </x:c>
    </x:row>
    <x:row r="15">
      <x:c r="A15" s="24" t="n">
        <x:v>14</x:v>
      </x:c>
      <x:c r="B15" s="20" t="str">
        <x:v>Tsinghua University</x:v>
      </x:c>
      <x:c r="C15" s="20" t="str">
        <x:v>Beijing, China (Mainland)</x:v>
      </x:c>
      <x:c r="D15" s="20" t="str">
        <x:v>Tsinghua SEM research / insights</x:v>
      </x:c>
      <x:c r="E15" s="20" t="str">
        <x:v>https://www.sem.tsinghua.edu.cn/en/Research/Insights.htm</x:v>
      </x:c>
      <x:c r="F15" s="20" t="str">
        <x:v>Tsinghua / XuetangX open courses</x:v>
      </x:c>
      <x:c r="G15" s="20" t="str">
        <x:v>https://www.xuetangx.com/university/THU</x:v>
      </x:c>
      <x:c r="H15" s="20" t="str">
        <x:v>Tsinghua x-lab entrepreneurship</x:v>
      </x:c>
      <x:c r="I15" s="20" t="str">
        <x:v>https://www.x-lab.tsinghua.edu.cn/</x:v>
      </x:c>
      <x:c r="J15" s="24" t="str">
        <x:v>High</x:v>
      </x:c>
      <x:c r="K15" s="20" t="str">
        <x:v>China-source verification required</x:v>
      </x:c>
    </x:row>
    <x:row r="16">
      <x:c r="A16" s="24" t="n">
        <x:v>15</x:v>
      </x:c>
      <x:c r="B16" s="20" t="str">
        <x:v>University of Pennsylvania</x:v>
      </x:c>
      <x:c r="C16" s="20" t="str">
        <x:v>Philadelphia, United States</x:v>
      </x:c>
      <x:c r="D16" s="20" t="str">
        <x:v>Knowledge at Wharton</x:v>
      </x:c>
      <x:c r="E16" s="20" t="str">
        <x:v>https://knowledge.wharton.upenn.edu/</x:v>
      </x:c>
      <x:c r="F16" s="20" t="str">
        <x:v>Penn online / Coursera partner source family</x:v>
      </x:c>
      <x:c r="G16" s="20" t="str">
        <x:v>https://www.coursera.org/penn</x:v>
      </x:c>
      <x:c r="H16" s="20" t="str">
        <x:v>Wharton Entrepreneurship</x:v>
      </x:c>
      <x:c r="I16" s="20" t="str">
        <x:v>https://entrepreneurship.wharton.upenn.edu/</x:v>
      </x:c>
      <x:c r="J16" s="24" t="str">
        <x:v>High</x:v>
      </x:c>
      <x:c r="K16" s="20" t="str">
        <x:v>Strong business/company-use source</x:v>
      </x:c>
    </x:row>
    <x:row r="17">
      <x:c r="A17" s="24" t="n">
        <x:f>16</x:f>
        <x:v>16</x:v>
      </x:c>
      <x:c r="B17" s="20" t="str">
        <x:v>Cornell University</x:v>
      </x:c>
      <x:c r="C17" s="20" t="str">
        <x:v>Ithaca, United States</x:v>
      </x:c>
      <x:c r="D17" s="20" t="str">
        <x:v>Cornell SC Johnson Business research hub</x:v>
      </x:c>
      <x:c r="E17" s="20" t="str">
        <x:v>https://business.cornell.edu/hub/</x:v>
      </x:c>
      <x:c r="F17" s="20" t="str">
        <x:v>CornellX / technology courses source family</x:v>
      </x:c>
      <x:c r="G17" s="20" t="str">
        <x:v>https://www.edx.org/school/cornellx</x:v>
      </x:c>
      <x:c r="H17" s="20" t="str">
        <x:v>Cornell Center for Technology Licensing</x:v>
      </x:c>
      <x:c r="I17" s="20" t="str">
        <x:v>https://ctl.cornell.edu/</x:v>
      </x:c>
      <x:c r="J17" s="24" t="str">
        <x:v>Medium</x:v>
      </x:c>
      <x:c r="K17" s="20" t="str">
        <x:v>Verify exact courses</x:v>
      </x:c>
    </x:row>
    <x:row r="18">
      <x:c r="A18" s="24" t="n">
        <x:f>16</x:f>
        <x:v>16</x:v>
      </x:c>
      <x:c r="B18" s="20" t="str">
        <x:v>Yale University</x:v>
      </x:c>
      <x:c r="C18" s="20" t="str">
        <x:v>New Haven, United States</x:v>
      </x:c>
      <x:c r="D18" s="20" t="str">
        <x:v>Yale Financial Markets / Coursera partner source family</x:v>
      </x:c>
      <x:c r="E18" s="20" t="str">
        <x:v>https://www.coursera.org/partners/yale</x:v>
      </x:c>
      <x:c r="F18" s="20" t="str">
        <x:v>Open Yale Courses: Computer Science</x:v>
      </x:c>
      <x:c r="G18" s="20" t="str">
        <x:v>https://oyc.yale.edu/computer-science</x:v>
      </x:c>
      <x:c r="H18" s="20" t="str">
        <x:v>Tsai Center for Innovative Thinking at Yale</x:v>
      </x:c>
      <x:c r="I18" s="20" t="str">
        <x:v>https://city.yale.edu/</x:v>
      </x:c>
      <x:c r="J18" s="24" t="str">
        <x:v>High</x:v>
      </x:c>
      <x:c r="K18" s="20" t="str">
        <x:v>Confirmed open-learning source family</x:v>
      </x:c>
    </x:row>
    <x:row r="19">
      <x:c r="A19" s="24" t="n">
        <x:v>18</x:v>
      </x:c>
      <x:c r="B19" s="20" t="str">
        <x:v>The Chinese University of Hong Kong (CUHK)</x:v>
      </x:c>
      <x:c r="C19" s="20" t="str">
        <x:v>Hong Kong, Hong Kong SAR</x:v>
      </x:c>
      <x:c r="D19" s="20" t="str">
        <x:v>CUHK Business School research</x:v>
      </x:c>
      <x:c r="E19" s="20" t="str">
        <x:v>https://www.bschool.cuhk.edu.hk/research/</x:v>
      </x:c>
      <x:c r="F19" s="20" t="str">
        <x:v>CUHK Research Portal</x:v>
      </x:c>
      <x:c r="G19" s="20" t="str">
        <x:v>https://researchportal.cuhk.edu.hk/</x:v>
      </x:c>
      <x:c r="H19" s="20" t="str">
        <x:v>CUHK ORKTS / knowledge transfer</x:v>
      </x:c>
      <x:c r="I19" s="20" t="str">
        <x:v>https://www.orkts.cuhk.edu.hk/</x:v>
      </x:c>
      <x:c r="J19" s="24" t="str">
        <x:v>Medium</x:v>
      </x:c>
      <x:c r="K19" s="20" t="str">
        <x:v>Verify specific source permissions</x:v>
      </x:c>
    </x:row>
    <x:row r="20">
      <x:c r="A20" s="24" t="n">
        <x:v>19</x:v>
      </x:c>
      <x:c r="B20" s="20" t="str">
        <x:v>The University of New South Wales (UNSW Sydney)</x:v>
      </x:c>
      <x:c r="C20" s="20" t="str">
        <x:v>Sydney, Australia</x:v>
      </x:c>
      <x:c r="D20" s="20" t="str">
        <x:v>UNSW Business School research impact</x:v>
      </x:c>
      <x:c r="E20" s="20" t="str">
        <x:v>https://www.unsw.edu.au/business/our-research/research-impact</x:v>
      </x:c>
      <x:c r="F20" s="20" t="str">
        <x:v>UNSW Engineering research</x:v>
      </x:c>
      <x:c r="G20" s="20" t="str">
        <x:v>https://www.unsw.edu.au/engineering/our-research</x:v>
      </x:c>
      <x:c r="H20" s="20" t="str">
        <x:v>UNSW Founders</x:v>
      </x:c>
      <x:c r="I20" s="20" t="str">
        <x:v>https://www.unsw.edu.au/entrepreneurship</x:v>
      </x:c>
      <x:c r="J20" s="24" t="str">
        <x:v>Medium</x:v>
      </x:c>
      <x:c r="K20" s="20" t="str">
        <x:v>Useful for startup/industry pathway</x:v>
      </x:c>
    </x:row>
    <x:row r="21">
      <x:c r="A21" s="24" t="n">
        <x:f>20</x:f>
        <x:v>20</x:v>
      </x:c>
      <x:c r="B21" s="20" t="str">
        <x:v>Johns Hopkins University</x:v>
      </x:c>
      <x:c r="C21" s="20" t="str">
        <x:v>Baltimore, United States</x:v>
      </x:c>
      <x:c r="D21" s="20" t="str">
        <x:v>Johns Hopkins Carey Business insights</x:v>
      </x:c>
      <x:c r="E21" s="20" t="str">
        <x:v>https://carey.jhu.edu/articles</x:v>
      </x:c>
      <x:c r="F21" s="20" t="str">
        <x:v>JScholarship repository</x:v>
      </x:c>
      <x:c r="G21" s="20" t="str">
        <x:v>https://jscholarship.library.jhu.edu/</x:v>
      </x:c>
      <x:c r="H21" s="20" t="str">
        <x:v>FastForward U / Johns Hopkins Technology Ventures</x:v>
      </x:c>
      <x:c r="I21" s="20" t="str">
        <x:v>https://ventures.jhu.edu/fastforward-u/</x:v>
      </x:c>
      <x:c r="J21" s="24" t="str">
        <x:v>High</x:v>
      </x:c>
      <x:c r="K21" s="20" t="str">
        <x:v>Good life-science commercialization fit</x:v>
      </x:c>
    </x:row>
    <x:row r="22">
      <x:c r="A22" s="24" t="n">
        <x:f>20</x:f>
        <x:v>20</x:v>
      </x:c>
      <x:c r="B22" s="20" t="str">
        <x:v>University of California, Berkeley (UCB)</x:v>
      </x:c>
      <x:c r="C22" s="20" t="str">
        <x:v>Berkeley, United States</x:v>
      </x:c>
      <x:c r="D22" s="20" t="str">
        <x:v>Berkeley Haas research / insights</x:v>
      </x:c>
      <x:c r="E22" s="20" t="str">
        <x:v>https://haas.berkeley.edu/research/</x:v>
      </x:c>
      <x:c r="F22" s="20" t="str">
        <x:v>UC Berkeley CS61A open course</x:v>
      </x:c>
      <x:c r="G22" s="20" t="str">
        <x:v>https://cs61a.org/</x:v>
      </x:c>
      <x:c r="H22" s="20" t="str">
        <x:v>Berkeley SkyDeck accelerator</x:v>
      </x:c>
      <x:c r="I22" s="20" t="str">
        <x:v>https://skydeck.berkeley.edu/</x:v>
      </x:c>
      <x:c r="J22" s="24" t="str">
        <x:v>High</x:v>
      </x:c>
      <x:c r="K22" s="20" t="str">
        <x:v>Strong AI/startup fit</x:v>
      </x:c>
    </x:row>
    <x:row r="23">
      <x:c r="A23" s="24" t="n">
        <x:f>22</x:f>
        <x:v>22</x:v>
      </x:c>
      <x:c r="B23" s="20" t="str">
        <x:v>EPFL – École polytechnique fédérale de Lausanne</x:v>
      </x:c>
      <x:c r="C23" s="20" t="str">
        <x:v>Lausanne, Switzerland</x:v>
      </x:c>
      <x:c r="D23" s="20" t="str">
        <x:v>EPFL College of Management / technology management</x:v>
      </x:c>
      <x:c r="E23" s="20" t="str">
        <x:v>https://www.epfl.ch/schools/cdm/</x:v>
      </x:c>
      <x:c r="F23" s="20" t="str">
        <x:v>EPFL MOOCs</x:v>
      </x:c>
      <x:c r="G23" s="20" t="str">
        <x:v>https://www.epfl.ch/education/continuing-education/moocs/</x:v>
      </x:c>
      <x:c r="H23" s="20" t="str">
        <x:v>EPFL Innovation Park</x:v>
      </x:c>
      <x:c r="I23" s="20" t="str">
        <x:v>https://epfl-innovationpark.ch/</x:v>
      </x:c>
      <x:c r="J23" s="24" t="str">
        <x:v>High</x:v>
      </x:c>
      <x:c r="K23" s="20" t="str">
        <x:v>Strong engineering commercialization fit</x:v>
      </x:c>
    </x:row>
    <x:row r="24">
      <x:c r="A24" s="24" t="n">
        <x:f>22</x:f>
        <x:v>22</x:v>
      </x:c>
      <x:c r="B24" s="20" t="str">
        <x:v>The University of Melbourne</x:v>
      </x:c>
      <x:c r="C24" s="20" t="str">
        <x:v>Melbourne, Australia</x:v>
      </x:c>
      <x:c r="D24" s="20" t="str">
        <x:v>Melbourne Business School Ideas</x:v>
      </x:c>
      <x:c r="E24" s="20" t="str">
        <x:v>https://mbs.edu/ideas</x:v>
      </x:c>
      <x:c r="F24" s="20" t="str">
        <x:v>Minerva Access research repository</x:v>
      </x:c>
      <x:c r="G24" s="20" t="str">
        <x:v>https://minerva-access.unimelb.edu.au/</x:v>
      </x:c>
      <x:c r="H24" s="20" t="str">
        <x:v>University of Melbourne entrepreneurship</x:v>
      </x:c>
      <x:c r="I24" s="20" t="str">
        <x:v>https://www.unimelb.edu.au/entrepreneurship</x:v>
      </x:c>
      <x:c r="J24" s="24" t="str">
        <x:v>Medium</x:v>
      </x:c>
      <x:c r="K24" s="20" t="str">
        <x:v>Verify exact repository terms</x:v>
      </x:c>
    </x:row>
    <x:row r="25">
      <x:c r="A25" s="24" t="n">
        <x:v>24</x:v>
      </x:c>
      <x:c r="B25" s="20" t="str">
        <x:v>University of Chicago</x:v>
      </x:c>
      <x:c r="C25" s="20" t="str">
        <x:v>Chicago, United States</x:v>
      </x:c>
      <x:c r="D25" s="20" t="str">
        <x:v>Becker Friedman Institute working papers</x:v>
      </x:c>
      <x:c r="E25" s="20" t="str">
        <x:v>https://bfi.uchicago.edu/working-papers/</x:v>
      </x:c>
      <x:c r="F25" s="20" t="str">
        <x:v>UChicago CS research</x:v>
      </x:c>
      <x:c r="G25" s="20" t="str">
        <x:v>https://cs.uchicago.edu/research/</x:v>
      </x:c>
      <x:c r="H25" s="20" t="str">
        <x:v>Polsky Center for Entrepreneurship and Innovation</x:v>
      </x:c>
      <x:c r="I25" s="20" t="str">
        <x:v>https://polsky.uchicago.edu/</x:v>
      </x:c>
      <x:c r="J25" s="24" t="str">
        <x:v>High</x:v>
      </x:c>
      <x:c r="K25" s="20" t="str">
        <x:v>Strong economics + startup strategy source</x:v>
      </x:c>
    </x:row>
    <x:row r="26">
      <x:c r="A26" s="24" t="n">
        <x:v>25</x:v>
      </x:c>
      <x:c r="B26" s="20" t="str">
        <x:v>Technical University of Munich</x:v>
      </x:c>
      <x:c r="C26" s="20" t="str">
        <x:v>Munich, Germany</x:v>
      </x:c>
      <x:c r="D26" s="20" t="str">
        <x:v>TUM School of Management research</x:v>
      </x:c>
      <x:c r="E26" s="20" t="str">
        <x:v>https://www.mgt.tum.de/faculty-research/research</x:v>
      </x:c>
      <x:c r="F26" s="20" t="str">
        <x:v>TUMx / edX source family</x:v>
      </x:c>
      <x:c r="G26" s="20" t="str">
        <x:v>https://www.edx.org/school/tumx</x:v>
      </x:c>
      <x:c r="H26" s="20" t="str">
        <x:v>UnternehmerTUM</x:v>
      </x:c>
      <x:c r="I26" s="20" t="str">
        <x:v>https://www.unternehmertum.de/</x:v>
      </x:c>
      <x:c r="J26" s="24" t="str">
        <x:v>High</x:v>
      </x:c>
      <x:c r="K26" s="20" t="str">
        <x:v>Strong deep-tech venture source</x:v>
      </x:c>
    </x:row>
    <x:row r="27">
      <x:c r="A27" s="24" t="n">
        <x:v>26</x:v>
      </x:c>
      <x:c r="B27" s="20" t="str">
        <x:v>Fudan University</x:v>
      </x:c>
      <x:c r="C27" s="20" t="str">
        <x:v>Shanghai, China (Mainland)</x:v>
      </x:c>
      <x:c r="D27" s="20" t="str">
        <x:v>Fudan School of Economics</x:v>
      </x:c>
      <x:c r="E27" s="20" t="str">
        <x:v>https://econ.fudan.edu.cn/en/</x:v>
      </x:c>
      <x:c r="F27" s="20" t="str">
        <x:v>Fudan research portal</x:v>
      </x:c>
      <x:c r="G27" s="20" t="str">
        <x:v>https://www.fudan.edu.cn/en/research/list.htm</x:v>
      </x:c>
      <x:c r="H27" s="20" t="str">
        <x:v>Fudan innovation / entrepreneurship search target</x:v>
      </x:c>
      <x:c r="I27" s="20" t="str">
        <x:v>https://www.fudan.edu.cn/en/</x:v>
      </x:c>
      <x:c r="J27" s="24" t="str">
        <x:v>Medium</x:v>
      </x:c>
      <x:c r="K27" s="20" t="str">
        <x:v>China-source verification required</x:v>
      </x:c>
    </x:row>
    <x:row r="28">
      <x:c r="A28" s="24" t="n">
        <x:v>27</x:v>
      </x:c>
      <x:c r="B28" s="20" t="str">
        <x:v>Princeton University</x:v>
      </x:c>
      <x:c r="C28" s="20" t="str">
        <x:v>Princeton, United States</x:v>
      </x:c>
      <x:c r="D28" s="20" t="str">
        <x:v>Princeton Economics working papers</x:v>
      </x:c>
      <x:c r="E28" s="20" t="str">
        <x:v>https://economics.princeton.edu/research/working-papers/</x:v>
      </x:c>
      <x:c r="F28" s="20" t="str">
        <x:v>Princeton CS course archive</x:v>
      </x:c>
      <x:c r="G28" s="20" t="str">
        <x:v>https://www.cs.princeton.edu/courses/archive/</x:v>
      </x:c>
      <x:c r="H28" s="20" t="str">
        <x:v>Princeton Entrepreneurship Council</x:v>
      </x:c>
      <x:c r="I28" s="20" t="str">
        <x:v>https://entrepreneurs.princeton.edu/</x:v>
      </x:c>
      <x:c r="J28" s="24" t="str">
        <x:v>High</x:v>
      </x:c>
      <x:c r="K28" s="20" t="str">
        <x:v>High-quality papers/courses; check license</x:v>
      </x:c>
    </x:row>
    <x:row r="29">
      <x:c r="A29" s="24" t="n">
        <x:v>28</x:v>
      </x:c>
      <x:c r="B29" s="20" t="str">
        <x:v>The University of Sydney</x:v>
      </x:c>
      <x:c r="C29" s="20" t="str">
        <x:v>Sydney, Australia</x:v>
      </x:c>
      <x:c r="D29" s="20" t="str">
        <x:v>Sydney Business Insights</x:v>
      </x:c>
      <x:c r="E29" s="20" t="str">
        <x:v>https://sbi.sydney.edu.au/</x:v>
      </x:c>
      <x:c r="F29" s="20" t="str">
        <x:v>Sydney eScholarship repository</x:v>
      </x:c>
      <x:c r="G29" s="20" t="str">
        <x:v>https://ses.library.usyd.edu.au/</x:v>
      </x:c>
      <x:c r="H29" s="20" t="str">
        <x:v>Sydney industry &amp; business engagement</x:v>
      </x:c>
      <x:c r="I29" s="20" t="str">
        <x:v>https://www.sydney.edu.au/engage/industry-and-business.html</x:v>
      </x:c>
      <x:c r="J29" s="24" t="str">
        <x:v>Medium</x:v>
      </x:c>
      <x:c r="K29" s="20" t="str">
        <x:v>Useful for industry partnership models</x:v>
      </x:c>
    </x:row>
    <x:row r="30">
      <x:c r="A30" s="24" t="n">
        <x:v>29</x:v>
      </x:c>
      <x:c r="B30" s="20" t="str">
        <x:v>Australian National University (ANU)</x:v>
      </x:c>
      <x:c r="C30" s="20" t="str">
        <x:v>Canberra, Australia</x:v>
      </x:c>
      <x:c r="D30" s="20" t="str">
        <x:v>Crawford School publications / economics &amp; policy</x:v>
      </x:c>
      <x:c r="E30" s="20" t="str">
        <x:v>https://crawford.anu.edu.au/publication</x:v>
      </x:c>
      <x:c r="F30" s="20" t="str">
        <x:v>ANU Open Research Repository</x:v>
      </x:c>
      <x:c r="G30" s="20" t="str">
        <x:v>https://openresearch-repository.anu.edu.au/</x:v>
      </x:c>
      <x:c r="H30" s="20" t="str">
        <x:v>ANU Innovation</x:v>
      </x:c>
      <x:c r="I30" s="20" t="str">
        <x:v>https://innovation.anu.edu.au/</x:v>
      </x:c>
      <x:c r="J30" s="24" t="str">
        <x:v>Medium</x:v>
      </x:c>
      <x:c r="K30" s="20" t="str">
        <x:v>Good policy/regulation source</x:v>
      </x:c>
    </x:row>
    <x:row r="31">
      <x:c r="A31" s="24" t="n">
        <x:v>30</x:v>
      </x:c>
      <x:c r="B31" s="20" t="str">
        <x:v>McGill University</x:v>
      </x:c>
      <x:c r="C31" s="20" t="str">
        <x:v>Montreal, Canada</x:v>
      </x:c>
      <x:c r="D31" s="20" t="str">
        <x:v>McGill Delve / Desautels insights</x:v>
      </x:c>
      <x:c r="E31" s="20" t="str">
        <x:v>https://www.mcgill.ca/delve/</x:v>
      </x:c>
      <x:c r="F31" s="20" t="str">
        <x:v>McGill eScholarship</x:v>
      </x:c>
      <x:c r="G31" s="20" t="str">
        <x:v>https://escholarship.mcgill.ca/</x:v>
      </x:c>
      <x:c r="H31" s="20" t="str">
        <x:v>McGill Engine Centre</x:v>
      </x:c>
      <x:c r="I31" s="20" t="str">
        <x:v>https://www.mcgill.ca/engine/</x:v>
      </x:c>
      <x:c r="J31" s="24" t="str">
        <x:v>Medium</x:v>
      </x:c>
      <x:c r="K31" s="20" t="str">
        <x:v>Verify exact reuse permissions</x:v>
      </x:c>
    </x:row>
    <x:row r="32">
      <x:c r="A32" s="24" t="n">
        <x:v>31</x:v>
      </x:c>
      <x:c r="B32" s="20" t="str">
        <x:v>Monash University</x:v>
      </x:c>
      <x:c r="C32" s="20" t="str">
        <x:v>Melbourne, Australia</x:v>
      </x:c>
      <x:c r="D32" s="20" t="str">
        <x:v>Monash Business School research</x:v>
      </x:c>
      <x:c r="E32" s="20" t="str">
        <x:v>https://www.monash.edu/business/research</x:v>
      </x:c>
      <x:c r="F32" s="20" t="str">
        <x:v>Monash Bridges research repository</x:v>
      </x:c>
      <x:c r="G32" s="20" t="str">
        <x:v>https://bridges.monash.edu/</x:v>
      </x:c>
      <x:c r="H32" s="20" t="str">
        <x:v>Monash Generator</x:v>
      </x:c>
      <x:c r="I32" s="20" t="str">
        <x:v>https://www.monash.edu/generator</x:v>
      </x:c>
      <x:c r="J32" s="24" t="str">
        <x:v>Medium</x:v>
      </x:c>
      <x:c r="K32" s="20" t="str">
        <x:v>Good innovation/startup source</x:v>
      </x:c>
    </x:row>
    <x:row r="33">
      <x:c r="A33" s="24" t="n">
        <x:v>32</x:v>
      </x:c>
      <x:c r="B33" s="20" t="str">
        <x:v>University of Toronto</x:v>
      </x:c>
      <x:c r="C33" s="20" t="str">
        <x:v>Toronto, Canada</x:v>
      </x:c>
      <x:c r="D33" s="20" t="str">
        <x:v>Rotman research / insights</x:v>
      </x:c>
      <x:c r="E33" s="20" t="str">
        <x:v>https://www.rotman.utoronto.ca/FacultyAndResearch/Research</x:v>
      </x:c>
      <x:c r="F33" s="20" t="str">
        <x:v>TSpace repository</x:v>
      </x:c>
      <x:c r="G33" s="20" t="str">
        <x:v>https://tspace.library.utoronto.ca/</x:v>
      </x:c>
      <x:c r="H33" s="20" t="str">
        <x:v>U of T Entrepreneurship</x:v>
      </x:c>
      <x:c r="I33" s="20" t="str">
        <x:v>https://entrepreneurs.utoronto.ca/</x:v>
      </x:c>
      <x:c r="J33" s="24" t="str">
        <x:v>High</x:v>
      </x:c>
      <x:c r="K33" s="20" t="str">
        <x:v>Strong AI/life-science ecosystem relevance</x:v>
      </x:c>
    </x:row>
    <x:row r="34">
      <x:c r="A34" s="24" t="n">
        <x:v>33</x:v>
      </x:c>
      <x:c r="B34" s="20" t="str">
        <x:v>The Hong Kong University of Science and Technology</x:v>
      </x:c>
      <x:c r="C34" s="20" t="str">
        <x:v>Hong Kong, Hong Kong SAR</x:v>
      </x:c>
      <x:c r="D34" s="20" t="str">
        <x:v>HKUST Business School research</x:v>
      </x:c>
      <x:c r="E34" s="20" t="str">
        <x:v>https://bm.hkust.edu.hk/research</x:v>
      </x:c>
      <x:c r="F34" s="20" t="str">
        <x:v>HKUST Institutional Repository</x:v>
      </x:c>
      <x:c r="G34" s="20" t="str">
        <x:v>https://repository.hkust.edu.hk/</x:v>
      </x:c>
      <x:c r="H34" s="20" t="str">
        <x:v>HKUST Entrepreneurship Center</x:v>
      </x:c>
      <x:c r="I34" s="20" t="str">
        <x:v>https://ec.hkust.edu.hk/</x:v>
      </x:c>
      <x:c r="J34" s="24" t="str">
        <x:v>High</x:v>
      </x:c>
      <x:c r="K34" s="20" t="str">
        <x:v>Strong China/HK tech startup bridge</x:v>
      </x:c>
    </x:row>
    <x:row r="35">
      <x:c r="A35" s="24" t="n">
        <x:v>34</x:v>
      </x:c>
      <x:c r="B35" s="20" t="str">
        <x:v>Université PSL</x:v>
      </x:c>
      <x:c r="C35" s="20" t="str">
        <x:v>Paris, France</x:v>
      </x:c>
      <x:c r="D35" s="20" t="str">
        <x:v>PSL/Dauphine management &amp; economics research</x:v>
      </x:c>
      <x:c r="E35" s="20" t="str">
        <x:v>https://dauphine.psl.eu/en/research</x:v>
      </x:c>
      <x:c r="F35" s="20" t="str">
        <x:v>PSL HAL open archive</x:v>
      </x:c>
      <x:c r="G35" s="20" t="str">
        <x:v>https://hal.science/PSL/</x:v>
      </x:c>
      <x:c r="H35" s="20" t="str">
        <x:v>PSL Innovation</x:v>
      </x:c>
      <x:c r="I35" s="20" t="str">
        <x:v>https://psl.eu/en/innovation</x:v>
      </x:c>
      <x:c r="J35" s="24" t="str">
        <x:v>Medium</x:v>
      </x:c>
      <x:c r="K35" s="20" t="str">
        <x:v>Verify exact sub-institution mapping</x:v>
      </x:c>
    </x:row>
    <x:row r="36">
      <x:c r="A36" s="24" t="n">
        <x:v>35</x:v>
      </x:c>
      <x:c r="B36" s="20" t="str">
        <x:v>The University of Edinburgh</x:v>
      </x:c>
      <x:c r="C36" s="20" t="str">
        <x:v>Edinburgh, United Kingdom</x:v>
      </x:c>
      <x:c r="D36" s="20" t="str">
        <x:v>Edinburgh Business School blog/research</x:v>
      </x:c>
      <x:c r="E36" s="20" t="str">
        <x:v>https://www.business-school.ed.ac.uk/about/blog</x:v>
      </x:c>
      <x:c r="F36" s="20" t="str">
        <x:v>Edinburgh Research Explorer</x:v>
      </x:c>
      <x:c r="G36" s="20" t="str">
        <x:v>https://www.research.ed.ac.uk/</x:v>
      </x:c>
      <x:c r="H36" s="20" t="str">
        <x:v>Edinburgh Innovations</x:v>
      </x:c>
      <x:c r="I36" s="20" t="str">
        <x:v>https://edinburgh-innovations.ed.ac.uk/</x:v>
      </x:c>
      <x:c r="J36" s="24" t="str">
        <x:v>High</x:v>
      </x:c>
      <x:c r="K36" s="20" t="str">
        <x:v>Strong informatics/startup source</x:v>
      </x:c>
    </x:row>
    <x:row r="37">
      <x:c r="A37" s="24" t="n">
        <x:v>36</x:v>
      </x:c>
      <x:c r="B37" s="20" t="str">
        <x:v>Shanghai Jiao Tong University</x:v>
      </x:c>
      <x:c r="C37" s="20" t="str">
        <x:v>Shanghai, China (Mainland)</x:v>
      </x:c>
      <x:c r="D37" s="20" t="str">
        <x:v>Antai College of Economics and Management research</x:v>
      </x:c>
      <x:c r="E37" s="20" t="str">
        <x:v>https://www.acem.sjtu.edu.cn/en/research</x:v>
      </x:c>
      <x:c r="F37" s="20" t="str">
        <x:v>Shanghai Jiao Tong University research</x:v>
      </x:c>
      <x:c r="G37" s="20" t="str">
        <x:v>https://en.sjtu.edu.cn/research</x:v>
      </x:c>
      <x:c r="H37" s="20" t="str">
        <x:v>SJTU innovation / industry collaboration</x:v>
      </x:c>
      <x:c r="I37" s="20" t="str">
        <x:v>https://en.sjtu.edu.cn/</x:v>
      </x:c>
      <x:c r="J37" s="24" t="str">
        <x:v>Medium</x:v>
      </x:c>
      <x:c r="K37" s="20" t="str">
        <x:v>China-source verification required</x:v>
      </x:c>
    </x:row>
    <x:row r="38">
      <x:c r="A38" s="24" t="n">
        <x:v>37</x:v>
      </x:c>
      <x:c r="B38" s="20" t="str">
        <x:v>King's College London</x:v>
      </x:c>
      <x:c r="C38" s="20" t="str">
        <x:v>London, United Kingdom</x:v>
      </x:c>
      <x:c r="D38" s="20" t="str">
        <x:v>King's Business School research</x:v>
      </x:c>
      <x:c r="E38" s="20" t="str">
        <x:v>https://www.kcl.ac.uk/business/research</x:v>
      </x:c>
      <x:c r="F38" s="20" t="str">
        <x:v>King's Research Portal</x:v>
      </x:c>
      <x:c r="G38" s="20" t="str">
        <x:v>https://kclpure.kcl.ac.uk/</x:v>
      </x:c>
      <x:c r="H38" s="20" t="str">
        <x:v>King's Entrepreneurship Institute</x:v>
      </x:c>
      <x:c r="I38" s="20" t="str">
        <x:v>https://www.kcl.ac.uk/entrepreneurship</x:v>
      </x:c>
      <x:c r="J38" s="24" t="str">
        <x:v>Medium</x:v>
      </x:c>
      <x:c r="K38" s="20" t="str">
        <x:v>Good health/bio policy fit</x:v>
      </x:c>
    </x:row>
    <x:row r="39">
      <x:c r="A39" s="24" t="n">
        <x:v>38</x:v>
      </x:c>
      <x:c r="B39" s="20" t="str">
        <x:v>Seoul National University</x:v>
      </x:c>
      <x:c r="C39" s="20" t="str">
        <x:v>Seoul, South Korea</x:v>
      </x:c>
      <x:c r="D39" s="20" t="str">
        <x:v>SNU Business School research</x:v>
      </x:c>
      <x:c r="E39" s="20" t="str">
        <x:v>https://cba.snu.ac.kr/en/research</x:v>
      </x:c>
      <x:c r="F39" s="20" t="str">
        <x:v>SNU Open Repository / S-Space</x:v>
      </x:c>
      <x:c r="G39" s="20" t="str">
        <x:v>https://s-space.snu.ac.kr/</x:v>
      </x:c>
      <x:c r="H39" s="20" t="str">
        <x:v>SNU Startup / entrepreneurship support</x:v>
      </x:c>
      <x:c r="I39" s="20" t="str">
        <x:v>https://startup.snu.ac.kr/</x:v>
      </x:c>
      <x:c r="J39" s="24" t="str">
        <x:v>High</x:v>
      </x:c>
      <x:c r="K39" s="20" t="str">
        <x:v>Strong Korea partnership/source fit</x:v>
      </x:c>
    </x:row>
    <x:row r="40">
      <x:c r="A40" s="24" t="n">
        <x:v>39</x:v>
      </x:c>
      <x:c r="B40" s="20" t="str">
        <x:v>The University of Tokyo</x:v>
      </x:c>
      <x:c r="C40" s="20" t="str">
        <x:v>Tokyo, Japan</x:v>
      </x:c>
      <x:c r="D40" s="20" t="str">
        <x:v>UTokyo CARF / finance &amp; economics research</x:v>
      </x:c>
      <x:c r="E40" s="20" t="str">
        <x:v>https://www.carf.e.u-tokyo.ac.jp/en/</x:v>
      </x:c>
      <x:c r="F40" s="20" t="str">
        <x:v>UTokyo OpenCourseWare</x:v>
      </x:c>
      <x:c r="G40" s="20" t="str">
        <x:v>https://ocw.u-tokyo.ac.jp/en/</x:v>
      </x:c>
      <x:c r="H40" s="20" t="str">
        <x:v>UTokyo IPC startup investment / commercialization</x:v>
      </x:c>
      <x:c r="I40" s="20" t="str">
        <x:v>https://www.utokyo-ipc.co.jp/en/</x:v>
      </x:c>
      <x:c r="J40" s="24" t="str">
        <x:v>High</x:v>
      </x:c>
      <x:c r="K40" s="20" t="str">
        <x:v>Strong Asia deep-tech commercialization source</x:v>
      </x:c>
    </x:row>
    <x:row r="41">
      <x:c r="A41" s="24" t="n">
        <x:f>40</x:f>
        <x:v>40</x:v>
      </x:c>
      <x:c r="B41" s="20" t="str">
        <x:v>The University of Manchester</x:v>
      </x:c>
      <x:c r="C41" s="20" t="str">
        <x:v>Manchester, United Kingdom</x:v>
      </x:c>
      <x:c r="D41" s="20" t="str">
        <x:v>Alliance Manchester Business School research</x:v>
      </x:c>
      <x:c r="E41" s="20" t="str">
        <x:v>https://www.alliancembs.manchester.ac.uk/research/</x:v>
      </x:c>
      <x:c r="F41" s="20" t="str">
        <x:v>Manchester eScholar repository</x:v>
      </x:c>
      <x:c r="G41" s="20" t="str">
        <x:v>https://www.escholar.manchester.ac.uk/</x:v>
      </x:c>
      <x:c r="H41" s="20" t="str">
        <x:v>Masood Entrepreneurship Centre</x:v>
      </x:c>
      <x:c r="I41" s="20" t="str">
        <x:v>https://www.manchester.ac.uk/study/experience/student-life/university-support/masood-entrepreneurship-centre/</x:v>
      </x:c>
      <x:c r="J41" s="24" t="str">
        <x:v>Medium</x:v>
      </x:c>
      <x:c r="K41" s="20" t="str">
        <x:v>Verify course openness</x:v>
      </x:c>
    </x:row>
    <x:row r="42">
      <x:c r="A42" s="24" t="n">
        <x:f>40</x:f>
        <x:v>40</x:v>
      </x:c>
      <x:c r="B42" s="20" t="str">
        <x:v>The University of Queensland</x:v>
      </x:c>
      <x:c r="C42" s="20" t="str">
        <x:v>Brisbane City, Australia</x:v>
      </x:c>
      <x:c r="D42" s="20" t="str">
        <x:v>UQ Business School research</x:v>
      </x:c>
      <x:c r="E42" s="20" t="str">
        <x:v>https://business.uq.edu.au/research</x:v>
      </x:c>
      <x:c r="F42" s="20" t="str">
        <x:v>UQ eSpace repository</x:v>
      </x:c>
      <x:c r="G42" s="20" t="str">
        <x:v>https://espace.library.uq.edu.au/</x:v>
      </x:c>
      <x:c r="H42" s="20" t="str">
        <x:v>UQ Ventures</x:v>
      </x:c>
      <x:c r="I42" s="20" t="str">
        <x:v>https://ventures.uq.edu.au/</x:v>
      </x:c>
      <x:c r="J42" s="24" t="str">
        <x:v>Medium</x:v>
      </x:c>
      <x:c r="K42" s="20" t="str">
        <x:v>Good translational biotech source</x:v>
      </x:c>
    </x:row>
    <x:row r="43">
      <x:c r="A43" s="24" t="n">
        <x:v>42</x:v>
      </x:c>
      <x:c r="B43" s="20" t="str">
        <x:v>Yonsei University</x:v>
      </x:c>
      <x:c r="C43" s="20" t="str">
        <x:v>Seoul, South Korea</x:v>
      </x:c>
      <x:c r="D43" s="20" t="str">
        <x:v>Yonsei School of Business research</x:v>
      </x:c>
      <x:c r="E43" s="20" t="str">
        <x:v>https://ysb.yonsei.ac.kr/</x:v>
      </x:c>
      <x:c r="F43" s="20" t="str">
        <x:v>Yonsei University Repository</x:v>
      </x:c>
      <x:c r="G43" s="20" t="str">
        <x:v>https://repository.yonsei.ac.kr/</x:v>
      </x:c>
      <x:c r="H43" s="20" t="str">
        <x:v>Yonsei startup / entrepreneurship support</x:v>
      </x:c>
      <x:c r="I43" s="20" t="str">
        <x:v>https://startup.yonsei.ac.kr/</x:v>
      </x:c>
      <x:c r="J43" s="24" t="str">
        <x:v>Medium</x:v>
      </x:c>
      <x:c r="K43" s="20" t="str">
        <x:v>Verify exact page and license</x:v>
      </x:c>
    </x:row>
    <x:row r="44">
      <x:c r="A44" s="24" t="n">
        <x:f>43</x:f>
        <x:v>43</x:v>
      </x:c>
      <x:c r="B44" s="20" t="str">
        <x:v>Columbia University</x:v>
      </x:c>
      <x:c r="C44" s="20" t="str">
        <x:v>New York City, United States</x:v>
      </x:c>
      <x:c r="D44" s="20" t="str">
        <x:v>Columbia Business School Ideas / Leading Through Change</x:v>
      </x:c>
      <x:c r="E44" s="20" t="str">
        <x:v>https://leading.business.columbia.edu/</x:v>
      </x:c>
      <x:c r="F44" s="20" t="str">
        <x:v>Columbia Academic Commons</x:v>
      </x:c>
      <x:c r="G44" s="20" t="str">
        <x:v>https://academiccommons.columbia.edu/</x:v>
      </x:c>
      <x:c r="H44" s="20" t="str">
        <x:v>Columbia Startup Lab</x:v>
      </x:c>
      <x:c r="I44" s="20" t="str">
        <x:v>https://entrepreneurship.columbia.edu/startup-lab/</x:v>
      </x:c>
      <x:c r="J44" s="24" t="str">
        <x:v>High</x:v>
      </x:c>
      <x:c r="K44" s="20" t="str">
        <x:v>Strong commercialization/startup source</x:v>
      </x:c>
    </x:row>
    <x:row r="45">
      <x:c r="A45" s="24" t="n">
        <x:f>43</x:f>
        <x:v>43</x:v>
      </x:c>
      <x:c r="B45" s="20" t="str">
        <x:v>Institut Polytechnique de Paris</x:v>
      </x:c>
      <x:c r="C45" s="20" t="str">
        <x:v>Paris, France</x:v>
      </x:c>
      <x:c r="D45" s="20" t="str">
        <x:v>IP Paris economics research</x:v>
      </x:c>
      <x:c r="E45" s="20" t="str">
        <x:v>https://www.ip-paris.fr/en/research/economics</x:v>
      </x:c>
      <x:c r="F45" s="20" t="str">
        <x:v>IP Paris online courses</x:v>
      </x:c>
      <x:c r="G45" s="20" t="str">
        <x:v>https://www.ip-paris.fr/en/education/online-courses</x:v>
      </x:c>
      <x:c r="H45" s="20" t="str">
        <x:v>IP Paris Innovation</x:v>
      </x:c>
      <x:c r="I45" s="20" t="str">
        <x:v>https://www.ip-paris.fr/en/innovation</x:v>
      </x:c>
      <x:c r="J45" s="24" t="str">
        <x:v>Medium</x:v>
      </x:c>
      <x:c r="K45" s="20" t="str">
        <x:v>Strong engineering but verify business content</x:v>
      </x:c>
    </x:row>
    <x:row r="46">
      <x:c r="A46" s="24" t="n">
        <x:f>45</x:f>
        <x:v>45</x:v>
      </x:c>
      <x:c r="B46" s="20" t="str">
        <x:v>Northwestern University</x:v>
      </x:c>
      <x:c r="C46" s="20" t="str">
        <x:v>Evanston, United States</x:v>
      </x:c>
      <x:c r="D46" s="20" t="str">
        <x:v>Kellogg Insight</x:v>
      </x:c>
      <x:c r="E46" s="20" t="str">
        <x:v>https://insight.kellogg.northwestern.edu/</x:v>
      </x:c>
      <x:c r="F46" s="20" t="str">
        <x:v>Northwestern Arch institutional repository</x:v>
      </x:c>
      <x:c r="G46" s="20" t="str">
        <x:v>https://arch.library.northwestern.edu/</x:v>
      </x:c>
      <x:c r="H46" s="20" t="str">
        <x:v>The Garage Northwestern</x:v>
      </x:c>
      <x:c r="I46" s="20" t="str">
        <x:v>https://thegarage.northwestern.edu/</x:v>
      </x:c>
      <x:c r="J46" s="24" t="str">
        <x:v>High</x:v>
      </x:c>
      <x:c r="K46" s="20" t="str">
        <x:v>Strong management/startup source</x:v>
      </x:c>
    </x:row>
    <x:row r="47">
      <x:c r="A47" s="24" t="n">
        <x:v>45</x:v>
      </x:c>
      <x:c r="B47" s="20" t="str">
        <x:v>University of British Columbia</x:v>
      </x:c>
      <x:c r="C47" s="20" t="str">
        <x:v>Vancouver, Canada</x:v>
      </x:c>
      <x:c r="D47" s="20" t="str">
        <x:v>UBC Sauder thought leadership</x:v>
      </x:c>
      <x:c r="E47" s="20" t="str">
        <x:v>https://www.sauder.ubc.ca/thought-leadership</x:v>
      </x:c>
      <x:c r="F47" s="20" t="str">
        <x:v>UBC Open Collections</x:v>
      </x:c>
      <x:c r="G47" s="20" t="str">
        <x:v>https://open.library.ubc.ca/</x:v>
      </x:c>
      <x:c r="H47" s="20" t="str">
        <x:v>entrepreneurship@UBC</x:v>
      </x:c>
      <x:c r="I47" s="20" t="str">
        <x:v>https://entrepreneurship.ubc.ca/</x:v>
      </x:c>
      <x:c r="J47" s="24" t="str">
        <x:v>High</x:v>
      </x:c>
      <x:c r="K47" s="20" t="str">
        <x:v>Good IP/startup ecosystem source</x:v>
      </x:c>
    </x:row>
    <x:row r="48">
      <x:c r="A48" s="24" t="n">
        <x:v>47</x:v>
      </x:c>
      <x:c r="B48" s="20" t="str">
        <x:v>Zhejiang University</x:v>
      </x:c>
      <x:c r="C48" s="20" t="str">
        <x:v>Hangzhou, China (Mainland)</x:v>
      </x:c>
      <x:c r="D48" s="20" t="str">
        <x:v>ZJU School of Management</x:v>
      </x:c>
      <x:c r="E48" s="20" t="str">
        <x:v>https://www.som.zju.edu.cn/somen/</x:v>
      </x:c>
      <x:c r="F48" s="20" t="str">
        <x:v>Zhejiang University research</x:v>
      </x:c>
      <x:c r="G48" s="20" t="str">
        <x:v>https://www.zju.edu.cn/english/research/list.htm</x:v>
      </x:c>
      <x:c r="H48" s="20" t="str">
        <x:v>Zhejiang University innovation / entrepreneurship search target</x:v>
      </x:c>
      <x:c r="I48" s="20" t="str">
        <x:v>https://www.zju.edu.cn/english/</x:v>
      </x:c>
      <x:c r="J48" s="24" t="str">
        <x:v>Medium</x:v>
      </x:c>
      <x:c r="K48" s="20" t="str">
        <x:v>China-source verification required</x:v>
      </x:c>
    </x:row>
    <x:row r="49">
      <x:c r="A49" s="24" t="n">
        <x:v>48</x:v>
      </x:c>
      <x:c r="B49" s="20" t="str">
        <x:v>Delft University of Technology</x:v>
      </x:c>
      <x:c r="C49" s="20" t="str">
        <x:v>Delft, Netherlands</x:v>
      </x:c>
      <x:c r="D49" s="20" t="str">
        <x:v>TU Delft TPM policy/management research</x:v>
      </x:c>
      <x:c r="E49" s="20" t="str">
        <x:v>https://www.tudelft.nl/en/tpm/research</x:v>
      </x:c>
      <x:c r="F49" s="20" t="str">
        <x:v>TU Delft OpenCourseWare</x:v>
      </x:c>
      <x:c r="G49" s="20" t="str">
        <x:v>https://ocw.tudelft.nl/</x:v>
      </x:c>
      <x:c r="H49" s="20" t="str">
        <x:v>YES!Delft deep-tech incubator</x:v>
      </x:c>
      <x:c r="I49" s="20" t="str">
        <x:v>https://www.yesdelft.com/</x:v>
      </x:c>
      <x:c r="J49" s="24" t="str">
        <x:v>High</x:v>
      </x:c>
      <x:c r="K49" s="20" t="str">
        <x:v>Excellent engineering/open-course source</x:v>
      </x:c>
    </x:row>
    <x:row r="50">
      <x:c r="A50" s="24" t="n">
        <x:v>49</x:v>
      </x:c>
      <x:c r="B50" s="20" t="str">
        <x:v>University of California, Los Angeles (UCLA)</x:v>
      </x:c>
      <x:c r="C50" s="20" t="str">
        <x:v>Los Angeles, United States</x:v>
      </x:c>
      <x:c r="D50" s="20" t="str">
        <x:v>UCLA Anderson Review</x:v>
      </x:c>
      <x:c r="E50" s="20" t="str">
        <x:v>https://anderson-review.ucla.edu/</x:v>
      </x:c>
      <x:c r="F50" s="20" t="str">
        <x:v>UCLA eScholarship</x:v>
      </x:c>
      <x:c r="G50" s="20" t="str">
        <x:v>https://escholarship.org/uc/ucla</x:v>
      </x:c>
      <x:c r="H50" s="20" t="str">
        <x:v>UCLA Technology Development Group</x:v>
      </x:c>
      <x:c r="I50" s="20" t="str">
        <x:v>https://tdg.ucla.edu/</x:v>
      </x:c>
      <x:c r="J50" s="24" t="str">
        <x:v>High</x:v>
      </x:c>
      <x:c r="K50" s="20" t="str">
        <x:v>Strong commercialization/IP source</x:v>
      </x:c>
    </x:row>
    <x:row r="51">
      <x:c r="A51" s="24" t="n">
        <x:v>50</x:v>
      </x:c>
      <x:c r="B51" s="20" t="str">
        <x:v>The Hong Kong Polytechnic University</x:v>
      </x:c>
      <x:c r="C51" s="20" t="str">
        <x:v>Hong Kong, Hong Kong SAR</x:v>
      </x:c>
      <x:c r="D51" s="20" t="str">
        <x:v>PolyU Faculty of Business research</x:v>
      </x:c>
      <x:c r="E51" s="20" t="str">
        <x:v>https://www.polyu.edu.hk/fb/research/</x:v>
      </x:c>
      <x:c r="F51" s="20" t="str">
        <x:v>PolyU Institutional Research Archive</x:v>
      </x:c>
      <x:c r="G51" s="20" t="str">
        <x:v>https://ira.lib.polyu.edu.hk/</x:v>
      </x:c>
      <x:c r="H51" s="20" t="str">
        <x:v>PolyU Institute for Entrepreneurship</x:v>
      </x:c>
      <x:c r="I51" s="20" t="str">
        <x:v>https://www.polyu.edu.hk/ife/</x:v>
      </x:c>
      <x:c r="J51" s="24" t="str">
        <x:v>High</x:v>
      </x:c>
      <x:c r="K51" s="20" t="str">
        <x:v>Strong applied tech/commercialization source</x:v>
      </x:c>
    </x:row>
  </x:sheetData>
  <x:conditionalFormatting sqref="J2:J51">
    <x:cfRule type="expression" dxfId="0" priority="1">
      <x:formula>$J2="High"</x:formula>
    </x:cfRule>
    <x:cfRule type="expression" dxfId="1" priority="2">
      <x:formula>$J2="Medium"</x:formula>
    </x:cfRule>
  </x:conditionalFormatting>
  <x:dataValidations count="1">
    <x:dataValidation type="list" sqref="J2:J5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ebbdb17cca41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2" hidden="0" customWidth="1"/>
    <x:col min="3" max="3" width="62" hidden="0" customWidth="1"/>
  </x:cols>
  <x:sheetData>
    <x:row r="1">
      <x:c r="A1" s="10" t="str">
        <x:v>Source family</x:v>
      </x:c>
      <x:c r="B1" s="10" t="str">
        <x:v>URL</x:v>
      </x:c>
      <x:c r="C1" s="10" t="str">
        <x:v>Why it matters</x:v>
      </x:c>
    </x:row>
    <x:row r="2">
      <x:c r="A2" t="str">
        <x:v>QS World University Rankings 2027 Top 100</x:v>
      </x:c>
      <x:c r="B2" t="str">
        <x:v>https://www.topuniversities.com/student-info/choosing-university/worlds-top-100-universities</x:v>
      </x:c>
      <x:c r="C2" t="str">
        <x:v>Ranking source for university ordering 1-50.</x:v>
      </x:c>
    </x:row>
    <x:row r="3">
      <x:c r="A3" t="str">
        <x:v>MIT OpenCourseWare</x:v>
      </x:c>
      <x:c r="B3" t="str">
        <x:v>https://ocw.mit.edu/</x:v>
      </x:c>
      <x:c r="C3" t="str">
        <x:v>Free/open MIT course materials; useful for economics, EECS, AI, entrepreneurship.</x:v>
      </x:c>
    </x:row>
    <x:row r="4">
      <x:c r="A4" t="str">
        <x:v>MIT Open Learning OCW description</x:v>
      </x:c>
      <x:c r="B4" t="str">
        <x:v>https://openlearning.mit.edu/courses-programs/mit-opencourseware</x:v>
      </x:c>
      <x:c r="C4" t="str">
        <x:v>Confirms 2,500+ MIT course materials and Creative Commons sharing.</x:v>
      </x:c>
    </x:row>
    <x:row r="5">
      <x:c r="A5" t="str">
        <x:v>Harvard Free Courses</x:v>
      </x:c>
      <x:c r="B5" t="str">
        <x:v>https://pll.harvard.edu/catalog/free</x:v>
      </x:c>
      <x:c r="C5" t="str">
        <x:v>Official Harvard free course catalog.</x:v>
      </x:c>
    </x:row>
    <x:row r="6">
      <x:c r="A6" t="str">
        <x:v>Stanford Online Free Courses</x:v>
      </x:c>
      <x:c r="B6" t="str">
        <x:v>https://online.stanford.edu/free-courses</x:v>
      </x:c>
      <x:c r="C6" t="str">
        <x:v>Official Stanford free online courses page.</x:v>
      </x:c>
    </x:row>
    <x:row r="7">
      <x:c r="A7" t="str">
        <x:v>Open Yale Courses</x:v>
      </x:c>
      <x:c r="B7" t="str">
        <x:v>https://oyc.yale.edu/node/3</x:v>
      </x:c>
      <x:c r="C7" t="str">
        <x:v>Free and open Yale lecture/course materials.</x:v>
      </x:c>
    </x:row>
    <x:row r="8">
      <x:c r="A8" t="str">
        <x:v>edX free audit policy</x:v>
      </x:c>
      <x:c r="B8" t="str">
        <x:v>https://www.edx.org/free-online-courses</x:v>
      </x:c>
      <x:c r="C8" t="str">
        <x:v>Explains free audit access for edX courses.</x:v>
      </x:c>
    </x:row>
    <x:row r="9">
      <x:c r="A9" t="str">
        <x:v>Coursera</x:v>
      </x:c>
      <x:c r="B9" t="str">
        <x:v>https://www.coursera.org/</x:v>
      </x:c>
      <x:c r="C9" t="str">
        <x:v>Major university/industry course platform; audit/preview availability varies.</x:v>
      </x:c>
    </x:row>
  </x:sheetData>
  <x:pageMargins left="0.7" right="0.7" top="0.75" bottom="0.75" header="0.3" footer="0.3"/>
  <x:tableParts count="1">
    <x:tablePart xmlns:r="http://schemas.openxmlformats.org/officeDocument/2006/relationships" r:id="Re424092f8b7d49f0"/>
  </x:tableParts>
</x:worksheet>
</file>